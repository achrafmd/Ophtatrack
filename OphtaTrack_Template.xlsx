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u" sheetId="1" r:id="rId1"/>
    <sheet name="Patients" sheetId="2" r:id="rId2"/>
    <sheet name="Paramètres" sheetId="3" r:id="rId3"/>
    <sheet name="Statistiques" sheetId="4" r:id="rId4"/>
    <sheet name="Media" sheetId="5" r:id="rId5"/>
  </sheets>
  <calcPr calcId="124519" fullCalcOnLoad="1"/>
</workbook>
</file>

<file path=xl/sharedStrings.xml><?xml version="1.0" encoding="utf-8"?>
<sst xmlns="http://schemas.openxmlformats.org/spreadsheetml/2006/main" count="71" uniqueCount="53">
  <si>
    <t>Pathologie / Catégorie</t>
  </si>
  <si>
    <t>Description</t>
  </si>
  <si>
    <t>Glaucome</t>
  </si>
  <si>
    <t>Abcès cornéen</t>
  </si>
  <si>
    <t>Réfraction</t>
  </si>
  <si>
    <t>Cataracte</t>
  </si>
  <si>
    <t>Rétine (DMLA/DR)</t>
  </si>
  <si>
    <t>Urgences</t>
  </si>
  <si>
    <t>Suivi chronique : PIO, OCT RNFL, champ visuel.</t>
  </si>
  <si>
    <t>Infection cornéenne : suivi rapproché, photos, ATB.</t>
  </si>
  <si>
    <t>Bilan optique, ordonnances, suivis de correction.</t>
  </si>
  <si>
    <t>Évaluation pré-op, biométrie, suivi post-op.</t>
  </si>
  <si>
    <t>OCT maculaire, IVT, contrôles.</t>
  </si>
  <si>
    <t>Traumas, ACG, uvéites aiguës, corps étrangers.</t>
  </si>
  <si>
    <t>ID</t>
  </si>
  <si>
    <t>Nom du patient</t>
  </si>
  <si>
    <t>Numéro de téléphone</t>
  </si>
  <si>
    <t>Date de consultation</t>
  </si>
  <si>
    <t>Diagnostic</t>
  </si>
  <si>
    <t>Notes dictées (transcription)</t>
  </si>
  <si>
    <t>Photo Ref</t>
  </si>
  <si>
    <t>Prochain rendez-vous / Suivi (date)</t>
  </si>
  <si>
    <t>Priorité (Faible/Moyen/Urgent)</t>
  </si>
  <si>
    <t>Consentement photo (Oui/Non)</t>
  </si>
  <si>
    <t>Lieu (Urgences/Consultation/Bloc)</t>
  </si>
  <si>
    <t>Tags</t>
  </si>
  <si>
    <t>Créé le</t>
  </si>
  <si>
    <t>Dernière mise à jour</t>
  </si>
  <si>
    <t>Clé</t>
  </si>
  <si>
    <t>Valeur</t>
  </si>
  <si>
    <t>Priorité</t>
  </si>
  <si>
    <t>Consentement</t>
  </si>
  <si>
    <t>Lieu</t>
  </si>
  <si>
    <t>Faible</t>
  </si>
  <si>
    <t>Moyen</t>
  </si>
  <si>
    <t>Urgent</t>
  </si>
  <si>
    <t>Oui</t>
  </si>
  <si>
    <t>Non</t>
  </si>
  <si>
    <t>Consultation</t>
  </si>
  <si>
    <t>Bloc</t>
  </si>
  <si>
    <t>Indicateur / Catégorie</t>
  </si>
  <si>
    <t>Formule / Note</t>
  </si>
  <si>
    <t>Total patients</t>
  </si>
  <si>
    <t>Patients urgents</t>
  </si>
  <si>
    <t>Patients avec suivi planifié</t>
  </si>
  <si>
    <t>Comptes par pathologie</t>
  </si>
  <si>
    <t>Nombre de patients</t>
  </si>
  <si>
    <t>'=COUNTIF(Patients!J:J,"Urgent")'</t>
  </si>
  <si>
    <t>'=COUNTIF(Patients!I:I,"&lt;&gt;")'</t>
  </si>
  <si>
    <t>MediaID</t>
  </si>
  <si>
    <t>Filename</t>
  </si>
  <si>
    <t>MIME</t>
  </si>
  <si>
    <t>B64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</si>
</sst>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33</v>
      </c>
    </row>
    <row r="3" spans="1:2">
      <c r="A3" t="s">
        <v>30</v>
      </c>
      <c r="B3" t="s">
        <v>34</v>
      </c>
    </row>
    <row r="4" spans="1:2">
      <c r="A4" t="s">
        <v>30</v>
      </c>
      <c r="B4" t="s">
        <v>35</v>
      </c>
    </row>
    <row r="5" spans="1:2">
      <c r="A5" t="s">
        <v>31</v>
      </c>
      <c r="B5" t="s">
        <v>36</v>
      </c>
    </row>
    <row r="6" spans="1:2">
      <c r="A6" t="s">
        <v>31</v>
      </c>
      <c r="B6" t="s">
        <v>37</v>
      </c>
    </row>
    <row r="7" spans="1:2">
      <c r="A7" t="s">
        <v>32</v>
      </c>
      <c r="B7" t="s">
        <v>7</v>
      </c>
    </row>
    <row r="8" spans="1:2">
      <c r="A8" t="s">
        <v>32</v>
      </c>
      <c r="B8" t="s">
        <v>38</v>
      </c>
    </row>
    <row r="9" spans="1:2">
      <c r="A9" t="s">
        <v>32</v>
      </c>
      <c r="B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40</v>
      </c>
      <c r="B1" s="1" t="s">
        <v>29</v>
      </c>
      <c r="C1" s="1" t="s">
        <v>41</v>
      </c>
    </row>
    <row r="2" spans="1:3">
      <c r="A2" t="s">
        <v>40</v>
      </c>
      <c r="B2" t="s">
        <v>29</v>
      </c>
      <c r="C2" t="s">
        <v>41</v>
      </c>
    </row>
    <row r="3" spans="1:3">
      <c r="A3" t="s">
        <v>42</v>
      </c>
      <c r="C3">
        <f>COUNTA(Patients!A:A)-1</f>
        <v>0</v>
      </c>
    </row>
    <row r="4" spans="1:3">
      <c r="A4" t="s">
        <v>43</v>
      </c>
      <c r="C4" t="s">
        <v>47</v>
      </c>
    </row>
    <row r="5" spans="1:3">
      <c r="A5" t="s">
        <v>44</v>
      </c>
      <c r="C5" t="s">
        <v>48</v>
      </c>
    </row>
    <row r="7" spans="1:3">
      <c r="A7" t="s">
        <v>45</v>
      </c>
    </row>
    <row r="8" spans="1:3">
      <c r="A8" t="s">
        <v>0</v>
      </c>
      <c r="B8" t="s">
        <v>46</v>
      </c>
    </row>
    <row r="9" spans="1:3">
      <c r="A9" t="s">
        <v>2</v>
      </c>
      <c r="C9">
        <f>COUNTIF(Patients!E:E,"Glaucome")</f>
        <v>0</v>
      </c>
    </row>
    <row r="10" spans="1:3">
      <c r="A10" t="s">
        <v>3</v>
      </c>
      <c r="C10">
        <f>COUNTIF(Patients!E:E,"Abcès cornéen")</f>
        <v>0</v>
      </c>
    </row>
    <row r="11" spans="1:3">
      <c r="A11" t="s">
        <v>4</v>
      </c>
      <c r="C11">
        <f>COUNTIF(Patients!E:E,"Réfraction")</f>
        <v>0</v>
      </c>
    </row>
    <row r="12" spans="1:3">
      <c r="A12" t="s">
        <v>5</v>
      </c>
      <c r="C12">
        <f>COUNTIF(Patients!E:E,"Cataracte")</f>
        <v>0</v>
      </c>
    </row>
    <row r="13" spans="1:3">
      <c r="A13" t="s">
        <v>6</v>
      </c>
      <c r="C13">
        <f>COUNTIF(Patients!E:E,"Rétine (DMLA/DR)")</f>
        <v>0</v>
      </c>
    </row>
    <row r="14" spans="1:3">
      <c r="A14" t="s">
        <v>7</v>
      </c>
      <c r="C14">
        <f>COUNTIF(Patients!E:E,"Urgences")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49</v>
      </c>
      <c r="B1" s="1" t="s">
        <v>50</v>
      </c>
      <c r="C1" s="1" t="s">
        <v>51</v>
      </c>
      <c r="D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Menu</vt:lpstr>
      <vt:lpstr>Patients</vt:lpstr>
      <vt:lpstr>Paramètres</vt:lpstr>
      <vt:lpstr>Statistiques</vt:lpstr>
      <vt:lpstr>Media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2025-11-08T14:59:55Z</dcterms:created>
  <dcterms:modified xsi:type="dcterms:W3CDTF">2025-11-08T14:59:55Z</dcterms:modified>
</cp:coreProperties>
</file>